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595959"/>
      <sz val="11"/>
    </font>
    <font>
      <name val="Calibri"/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164" fontId="4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'Dashboard'!$A$4:$A$9</f>
            </numRef>
          </cat>
          <val>
            <numRef>
              <f>'Dashboard'!$B$4:$B$9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40" customWidth="1" min="4" max="4"/>
    <col width="13" customWidth="1" min="5" max="5"/>
    <col width="13" customWidth="1" min="6" max="6"/>
    <col width="16" customWidth="1" min="7" max="7"/>
    <col width="16" customWidth="1" min="8" max="8"/>
    <col width="17" customWidth="1" min="9" max="9"/>
    <col width="20" customWidth="1" min="10" max="10"/>
    <col width="74" customWidth="1" min="11" max="11"/>
    <col width="12" customWidth="1" min="12" max="12"/>
    <col width="12" customWidth="1" min="13" max="13"/>
    <col width="22" customWidth="1" min="14" max="14"/>
    <col width="19" customWidth="1" min="15" max="15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Product Category</t>
        </is>
      </c>
      <c r="D1" s="1" t="inlineStr">
        <is>
          <t>Product Name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Total Revenue</t>
        </is>
      </c>
      <c r="H1" s="1" t="inlineStr">
        <is>
          <t>Region</t>
        </is>
      </c>
      <c r="I1" s="1" t="inlineStr">
        <is>
          <t>Payment Method</t>
        </is>
      </c>
      <c r="J1" s="1" t="inlineStr">
        <is>
          <t>Month</t>
        </is>
      </c>
      <c r="K1" s="1" t="inlineStr">
        <is>
          <t>Revenue Tier</t>
        </is>
      </c>
    </row>
    <row r="2">
      <c r="A2" s="2" t="n">
        <v>1</v>
      </c>
      <c r="B2" s="3" t="inlineStr">
        <is>
          <t>2024-01-05</t>
        </is>
      </c>
      <c r="C2" s="3" t="inlineStr">
        <is>
          <t>Electronics</t>
        </is>
      </c>
      <c r="D2" s="3" t="inlineStr">
        <is>
          <t>iPhone 14 Pro</t>
        </is>
      </c>
      <c r="E2" s="2" t="n">
        <v>2</v>
      </c>
      <c r="F2" s="4" t="n">
        <v>999.99</v>
      </c>
      <c r="G2" s="4" t="n">
        <v>1999.98</v>
      </c>
      <c r="H2" s="3" t="inlineStr">
        <is>
          <t>North America</t>
        </is>
      </c>
      <c r="I2" s="3" t="inlineStr">
        <is>
          <t>Credit Card</t>
        </is>
      </c>
      <c r="J2" s="3">
        <f>TEXT(B2, "Mmm")</f>
        <v/>
      </c>
      <c r="K2" s="3">
        <f>IF(G2&gt;=1000, "High Value", IF(G2&gt;=200, "Medium Value", "Low Value"))</f>
        <v/>
      </c>
      <c r="N2" s="5" t="inlineStr">
        <is>
          <t>Total Revenue</t>
        </is>
      </c>
      <c r="O2" s="6">
        <f>SUM(G2:G24)</f>
        <v/>
      </c>
    </row>
    <row r="3">
      <c r="A3" s="2" t="n">
        <v>2</v>
      </c>
      <c r="B3" s="3" t="inlineStr">
        <is>
          <t>2024-01-08</t>
        </is>
      </c>
      <c r="C3" s="3" t="inlineStr">
        <is>
          <t>Home Appliances</t>
        </is>
      </c>
      <c r="D3" s="3" t="inlineStr">
        <is>
          <t>Dyson V11 Vacuum</t>
        </is>
      </c>
      <c r="E3" s="2" t="n">
        <v>1</v>
      </c>
      <c r="F3" s="4" t="n">
        <v>499.99</v>
      </c>
      <c r="G3" s="4" t="n">
        <v>499.99</v>
      </c>
      <c r="H3" s="3" t="inlineStr">
        <is>
          <t>Europe</t>
        </is>
      </c>
      <c r="I3" s="3" t="inlineStr">
        <is>
          <t>PayPal</t>
        </is>
      </c>
      <c r="J3" s="3">
        <f>TEXT(B3, "Mmm")</f>
        <v/>
      </c>
      <c r="K3" s="3">
        <f>IF(G3&gt;=1000, "High Value", IF(G3&gt;=200, "Medium Value", "Low Value"))</f>
        <v/>
      </c>
      <c r="N3" s="5" t="inlineStr">
        <is>
          <t>Total Orders</t>
        </is>
      </c>
      <c r="O3" s="7">
        <f>COUNTA(A2:A24)</f>
        <v/>
      </c>
    </row>
    <row r="4">
      <c r="A4" s="2" t="n">
        <v>3</v>
      </c>
      <c r="B4" s="3" t="inlineStr">
        <is>
          <t>2024-01-10</t>
        </is>
      </c>
      <c r="C4" s="3" t="inlineStr">
        <is>
          <t>Clothing</t>
        </is>
      </c>
      <c r="D4" s="3" t="inlineStr">
        <is>
          <t>Levi's 501 Jeans</t>
        </is>
      </c>
      <c r="E4" s="2" t="n">
        <v>3</v>
      </c>
      <c r="F4" s="4" t="n">
        <v>69.98999999999999</v>
      </c>
      <c r="G4" s="4" t="n">
        <v>209.97</v>
      </c>
      <c r="H4" s="3" t="inlineStr">
        <is>
          <t>Asia</t>
        </is>
      </c>
      <c r="I4" s="3" t="inlineStr">
        <is>
          <t>Debit Card</t>
        </is>
      </c>
      <c r="J4" s="3">
        <f>TEXT(B4, "Mmm")</f>
        <v/>
      </c>
      <c r="K4" s="3">
        <f>IF(G4&gt;=1000, "High Value", IF(G4&gt;=200, "Medium Value", "Low Value"))</f>
        <v/>
      </c>
      <c r="N4" s="5" t="inlineStr">
        <is>
          <t>Average Order Value</t>
        </is>
      </c>
      <c r="O4" s="6">
        <f>AVERAGE(G2:G24)</f>
        <v/>
      </c>
    </row>
    <row r="5">
      <c r="A5" s="2" t="n">
        <v>4</v>
      </c>
      <c r="B5" s="3" t="inlineStr">
        <is>
          <t>2024-01-12</t>
        </is>
      </c>
      <c r="C5" s="3" t="inlineStr">
        <is>
          <t>Books</t>
        </is>
      </c>
      <c r="D5" s="3" t="inlineStr">
        <is>
          <t>The Da Vinci Code</t>
        </is>
      </c>
      <c r="E5" s="2" t="n">
        <v>4</v>
      </c>
      <c r="F5" s="4" t="n">
        <v>15.99</v>
      </c>
      <c r="G5" s="4" t="n">
        <v>63.96</v>
      </c>
      <c r="H5" s="3" t="inlineStr">
        <is>
          <t>North America</t>
        </is>
      </c>
      <c r="I5" s="3" t="inlineStr">
        <is>
          <t>Credit Card</t>
        </is>
      </c>
      <c r="J5" s="3">
        <f>TEXT(B5, "Mmm")</f>
        <v/>
      </c>
      <c r="K5" s="3">
        <f>IF(G5&gt;=1000, "High Value", IF(G5&gt;=200, "Medium Value", "Low Value"))</f>
        <v/>
      </c>
    </row>
    <row r="6">
      <c r="A6" s="2" t="n">
        <v>5</v>
      </c>
      <c r="B6" s="3" t="inlineStr">
        <is>
          <t>2024-01-15</t>
        </is>
      </c>
      <c r="C6" s="3" t="inlineStr">
        <is>
          <t>Beauty Products</t>
        </is>
      </c>
      <c r="D6" s="3" t="inlineStr">
        <is>
          <t>Neutrogena Skincare Set</t>
        </is>
      </c>
      <c r="E6" s="2" t="n">
        <v>1</v>
      </c>
      <c r="F6" s="4" t="n">
        <v>89.98999999999999</v>
      </c>
      <c r="G6" s="4" t="n">
        <v>89.98999999999999</v>
      </c>
      <c r="H6" s="3" t="inlineStr">
        <is>
          <t>Europe</t>
        </is>
      </c>
      <c r="I6" s="3" t="inlineStr">
        <is>
          <t>PayPal</t>
        </is>
      </c>
      <c r="J6" s="3">
        <f>TEXT(B6, "Mmm")</f>
        <v/>
      </c>
      <c r="K6" s="3">
        <f>IF(G6&gt;=1000, "High Value", IF(G6&gt;=200, "Medium Value", "Low Value"))</f>
        <v/>
      </c>
    </row>
    <row r="7">
      <c r="A7" s="2" t="n">
        <v>6</v>
      </c>
      <c r="B7" s="3" t="inlineStr">
        <is>
          <t>2024-01-18</t>
        </is>
      </c>
      <c r="C7" s="3" t="inlineStr">
        <is>
          <t>Sports</t>
        </is>
      </c>
      <c r="D7" s="3" t="inlineStr">
        <is>
          <t>Wilson Evolution Basketball</t>
        </is>
      </c>
      <c r="E7" s="2" t="n">
        <v>5</v>
      </c>
      <c r="F7" s="4" t="n">
        <v>29.99</v>
      </c>
      <c r="G7" s="4" t="n">
        <v>149.95</v>
      </c>
      <c r="H7" s="3" t="inlineStr">
        <is>
          <t>Asia</t>
        </is>
      </c>
      <c r="I7" s="3" t="inlineStr">
        <is>
          <t>Credit Card</t>
        </is>
      </c>
      <c r="J7" s="3">
        <f>TEXT(B7, "Mmm")</f>
        <v/>
      </c>
      <c r="K7" s="3">
        <f>IF(G7&gt;=1000, "High Value", IF(G7&gt;=200, "Medium Value", "Low Value"))</f>
        <v/>
      </c>
    </row>
    <row r="8">
      <c r="A8" s="2" t="n">
        <v>7</v>
      </c>
      <c r="B8" s="3" t="inlineStr">
        <is>
          <t>2024-01-20</t>
        </is>
      </c>
      <c r="C8" s="3" t="inlineStr">
        <is>
          <t>Electronics</t>
        </is>
      </c>
      <c r="D8" s="3" t="inlineStr">
        <is>
          <t>MacBook Pro 16-inch</t>
        </is>
      </c>
      <c r="E8" s="2" t="n">
        <v>1</v>
      </c>
      <c r="F8" s="4" t="n">
        <v>2499.99</v>
      </c>
      <c r="G8" s="4" t="n">
        <v>2499.99</v>
      </c>
      <c r="H8" s="3" t="inlineStr">
        <is>
          <t>North America</t>
        </is>
      </c>
      <c r="I8" s="3" t="inlineStr">
        <is>
          <t>Credit Card</t>
        </is>
      </c>
      <c r="J8" s="3">
        <f>TEXT(B8, "Mmm")</f>
        <v/>
      </c>
      <c r="K8" s="3">
        <f>IF(G8&gt;=1000, "High Value", IF(G8&gt;=200, "Medium Value", "Low Value"))</f>
        <v/>
      </c>
    </row>
    <row r="9">
      <c r="A9" s="2" t="n">
        <v>8</v>
      </c>
      <c r="B9" s="3" t="inlineStr">
        <is>
          <t>2024-01-22</t>
        </is>
      </c>
      <c r="C9" s="3" t="inlineStr">
        <is>
          <t>Home Appliances</t>
        </is>
      </c>
      <c r="D9" s="3" t="inlineStr">
        <is>
          <t>Blueair Classic 480i</t>
        </is>
      </c>
      <c r="E9" s="2" t="n">
        <v>2</v>
      </c>
      <c r="F9" s="4" t="n">
        <v>599.99</v>
      </c>
      <c r="G9" s="4" t="n">
        <v>1199.98</v>
      </c>
      <c r="H9" s="3" t="inlineStr">
        <is>
          <t>Europe</t>
        </is>
      </c>
      <c r="I9" s="3" t="inlineStr">
        <is>
          <t>PayPal</t>
        </is>
      </c>
      <c r="J9" s="3">
        <f>TEXT(B9, "Mmm")</f>
        <v/>
      </c>
      <c r="K9" s="3">
        <f>IF(G9&gt;=1000, "High Value", IF(G9&gt;=200, "Medium Value", "Low Value"))</f>
        <v/>
      </c>
    </row>
    <row r="10">
      <c r="A10" s="2" t="n">
        <v>9</v>
      </c>
      <c r="B10" s="3" t="inlineStr">
        <is>
          <t>2024-01-25</t>
        </is>
      </c>
      <c r="C10" s="3" t="inlineStr">
        <is>
          <t>Clothing</t>
        </is>
      </c>
      <c r="D10" s="3" t="inlineStr">
        <is>
          <t>Nike Air Force 1</t>
        </is>
      </c>
      <c r="E10" s="2" t="n">
        <v>6</v>
      </c>
      <c r="F10" s="4" t="n">
        <v>89.98999999999999</v>
      </c>
      <c r="G10" s="4" t="n">
        <v>539.9400000000001</v>
      </c>
      <c r="H10" s="3" t="inlineStr">
        <is>
          <t>Asia</t>
        </is>
      </c>
      <c r="I10" s="3" t="inlineStr">
        <is>
          <t>Debit Card</t>
        </is>
      </c>
      <c r="J10" s="3">
        <f>TEXT(B10, "Mmm")</f>
        <v/>
      </c>
      <c r="K10" s="3">
        <f>IF(G10&gt;=1000, "High Value", IF(G10&gt;=200, "Medium Value", "Low Value"))</f>
        <v/>
      </c>
    </row>
    <row r="11">
      <c r="A11" s="2" t="n">
        <v>10</v>
      </c>
      <c r="B11" s="3" t="inlineStr">
        <is>
          <t>2024-01-28</t>
        </is>
      </c>
      <c r="C11" s="3" t="inlineStr">
        <is>
          <t>Books</t>
        </is>
      </c>
      <c r="D11" s="3" t="inlineStr">
        <is>
          <t>Dune by Frank Herbert</t>
        </is>
      </c>
      <c r="E11" s="2" t="n">
        <v>2</v>
      </c>
      <c r="F11" s="4" t="n">
        <v>25.99</v>
      </c>
      <c r="G11" s="4" t="n">
        <v>51.98</v>
      </c>
      <c r="H11" s="3" t="inlineStr">
        <is>
          <t>North America</t>
        </is>
      </c>
      <c r="I11" s="3" t="inlineStr">
        <is>
          <t>Credit Card</t>
        </is>
      </c>
      <c r="J11" s="3">
        <f>TEXT(B11, "Mmm")</f>
        <v/>
      </c>
      <c r="K11" s="3">
        <f>IF(G11&gt;=1000, "High Value", IF(G11&gt;=200, "Medium Value", "Low Value"))</f>
        <v/>
      </c>
    </row>
    <row r="12">
      <c r="A12" s="2" t="n">
        <v>11</v>
      </c>
      <c r="B12" s="3" t="inlineStr">
        <is>
          <t>2024-02-02</t>
        </is>
      </c>
      <c r="C12" s="3" t="inlineStr">
        <is>
          <t>Beauty Products</t>
        </is>
      </c>
      <c r="D12" s="3" t="inlineStr">
        <is>
          <t>Chanel No. 5 Perfume</t>
        </is>
      </c>
      <c r="E12" s="2" t="n">
        <v>1</v>
      </c>
      <c r="F12" s="4" t="n">
        <v>129.99</v>
      </c>
      <c r="G12" s="4" t="n">
        <v>129.99</v>
      </c>
      <c r="H12" s="3" t="inlineStr">
        <is>
          <t>Europe</t>
        </is>
      </c>
      <c r="I12" s="3" t="inlineStr">
        <is>
          <t>PayPal</t>
        </is>
      </c>
      <c r="J12" s="3">
        <f>TEXT(B12, "Mmm")</f>
        <v/>
      </c>
      <c r="K12" s="3">
        <f>IF(G12&gt;=1000, "High Value", IF(G12&gt;=200, "Medium Value", "Low Value"))</f>
        <v/>
      </c>
    </row>
    <row r="13">
      <c r="A13" s="2" t="n">
        <v>12</v>
      </c>
      <c r="B13" s="3" t="inlineStr">
        <is>
          <t>2024-02-05</t>
        </is>
      </c>
      <c r="C13" s="3" t="inlineStr">
        <is>
          <t>Sports</t>
        </is>
      </c>
      <c r="D13" s="3" t="inlineStr">
        <is>
          <t>Babolat Pure Drive Tennis Racket</t>
        </is>
      </c>
      <c r="E13" s="2" t="n">
        <v>3</v>
      </c>
      <c r="F13" s="4" t="n">
        <v>199.99</v>
      </c>
      <c r="G13" s="4" t="n">
        <v>599.97</v>
      </c>
      <c r="H13" s="3" t="inlineStr">
        <is>
          <t>Asia</t>
        </is>
      </c>
      <c r="I13" s="3" t="inlineStr">
        <is>
          <t>Credit Card</t>
        </is>
      </c>
      <c r="J13" s="3">
        <f>TEXT(B13, "Mmm")</f>
        <v/>
      </c>
      <c r="K13" s="3">
        <f>IF(G13&gt;=1000, "High Value", IF(G13&gt;=200, "Medium Value", "Low Value"))</f>
        <v/>
      </c>
    </row>
    <row r="14">
      <c r="A14" s="2" t="n">
        <v>13</v>
      </c>
      <c r="B14" s="3" t="inlineStr">
        <is>
          <t>2024-02-10</t>
        </is>
      </c>
      <c r="C14" s="3" t="inlineStr">
        <is>
          <t>Electronics</t>
        </is>
      </c>
      <c r="D14" s="3" t="inlineStr">
        <is>
          <t>Samsung Galaxy Tab S8</t>
        </is>
      </c>
      <c r="E14" s="2" t="n">
        <v>2</v>
      </c>
      <c r="F14" s="4" t="n">
        <v>749.99</v>
      </c>
      <c r="G14" s="4" t="n">
        <v>1499.98</v>
      </c>
      <c r="H14" s="3" t="inlineStr">
        <is>
          <t>North America</t>
        </is>
      </c>
      <c r="I14" s="3" t="inlineStr">
        <is>
          <t>Credit Card</t>
        </is>
      </c>
      <c r="J14" s="3">
        <f>TEXT(B14, "Mmm")</f>
        <v/>
      </c>
      <c r="K14" s="3">
        <f>IF(G14&gt;=1000, "High Value", IF(G14&gt;=200, "Medium Value", "Low Value"))</f>
        <v/>
      </c>
    </row>
    <row r="15">
      <c r="A15" s="2" t="n">
        <v>14</v>
      </c>
      <c r="B15" s="3" t="inlineStr">
        <is>
          <t>2024-02-14</t>
        </is>
      </c>
      <c r="C15" s="3" t="inlineStr">
        <is>
          <t>Home Appliances</t>
        </is>
      </c>
      <c r="D15" s="3" t="inlineStr">
        <is>
          <t>Keurig K-Elite Coffee Maker</t>
        </is>
      </c>
      <c r="E15" s="2" t="n">
        <v>1</v>
      </c>
      <c r="F15" s="4" t="n">
        <v>189.99</v>
      </c>
      <c r="G15" s="4" t="n">
        <v>189.99</v>
      </c>
      <c r="H15" s="3" t="inlineStr">
        <is>
          <t>Europe</t>
        </is>
      </c>
      <c r="I15" s="3" t="inlineStr">
        <is>
          <t>PayPal</t>
        </is>
      </c>
      <c r="J15" s="3">
        <f>TEXT(B15, "Mmm")</f>
        <v/>
      </c>
      <c r="K15" s="3">
        <f>IF(G15&gt;=1000, "High Value", IF(G15&gt;=200, "Medium Value", "Low Value"))</f>
        <v/>
      </c>
    </row>
    <row r="16">
      <c r="A16" s="2" t="n">
        <v>15</v>
      </c>
      <c r="B16" s="3" t="inlineStr">
        <is>
          <t>2024-02-18</t>
        </is>
      </c>
      <c r="C16" s="3" t="inlineStr">
        <is>
          <t>Clothing</t>
        </is>
      </c>
      <c r="D16" s="3" t="inlineStr">
        <is>
          <t>North Face Down Jacket</t>
        </is>
      </c>
      <c r="E16" s="2" t="n">
        <v>2</v>
      </c>
      <c r="F16" s="4" t="n">
        <v>249.99</v>
      </c>
      <c r="G16" s="4" t="n">
        <v>499.98</v>
      </c>
      <c r="H16" s="3" t="inlineStr">
        <is>
          <t>Asia</t>
        </is>
      </c>
      <c r="I16" s="3" t="inlineStr">
        <is>
          <t>Debit Card</t>
        </is>
      </c>
      <c r="J16" s="3">
        <f>TEXT(B16, "Mmm")</f>
        <v/>
      </c>
      <c r="K16" s="3">
        <f>IF(G16&gt;=1000, "High Value", IF(G16&gt;=200, "Medium Value", "Low Value"))</f>
        <v/>
      </c>
    </row>
    <row r="17">
      <c r="A17" s="2" t="n">
        <v>16</v>
      </c>
      <c r="B17" s="3" t="inlineStr">
        <is>
          <t>2024-02-22</t>
        </is>
      </c>
      <c r="C17" s="3" t="inlineStr">
        <is>
          <t>Books</t>
        </is>
      </c>
      <c r="D17" s="3" t="inlineStr">
        <is>
          <t>Salt, Fat, Acid, Heat by Samin Nosrat</t>
        </is>
      </c>
      <c r="E17" s="2" t="n">
        <v>3</v>
      </c>
      <c r="F17" s="4" t="n">
        <v>35.99</v>
      </c>
      <c r="G17" s="4" t="n">
        <v>107.97</v>
      </c>
      <c r="H17" s="3" t="inlineStr">
        <is>
          <t>North America</t>
        </is>
      </c>
      <c r="I17" s="3" t="inlineStr">
        <is>
          <t>Credit Card</t>
        </is>
      </c>
      <c r="J17" s="3">
        <f>TEXT(B17, "Mmm")</f>
        <v/>
      </c>
      <c r="K17" s="3">
        <f>IF(G17&gt;=1000, "High Value", IF(G17&gt;=200, "Medium Value", "Low Value"))</f>
        <v/>
      </c>
    </row>
    <row r="18">
      <c r="A18" s="2" t="n">
        <v>17</v>
      </c>
      <c r="B18" s="3" t="inlineStr">
        <is>
          <t>2024-02-25</t>
        </is>
      </c>
      <c r="C18" s="3" t="inlineStr">
        <is>
          <t>Beauty Products</t>
        </is>
      </c>
      <c r="D18" s="3" t="inlineStr">
        <is>
          <t>Dyson Supersonic Hair Dryer</t>
        </is>
      </c>
      <c r="E18" s="2" t="n">
        <v>1</v>
      </c>
      <c r="F18" s="4" t="n">
        <v>399.99</v>
      </c>
      <c r="G18" s="4" t="n">
        <v>399.99</v>
      </c>
      <c r="H18" s="3" t="inlineStr">
        <is>
          <t>Europe</t>
        </is>
      </c>
      <c r="I18" s="3" t="inlineStr">
        <is>
          <t>PayPal</t>
        </is>
      </c>
      <c r="J18" s="3">
        <f>TEXT(B18, "Mmm")</f>
        <v/>
      </c>
      <c r="K18" s="3">
        <f>IF(G18&gt;=1000, "High Value", IF(G18&gt;=200, "Medium Value", "Low Value"))</f>
        <v/>
      </c>
    </row>
    <row r="19">
      <c r="A19" s="2" t="n">
        <v>18</v>
      </c>
      <c r="B19" s="3" t="inlineStr">
        <is>
          <t>2024-02-28</t>
        </is>
      </c>
      <c r="C19" s="3" t="inlineStr">
        <is>
          <t>Sports</t>
        </is>
      </c>
      <c r="D19" s="3" t="inlineStr">
        <is>
          <t>Manduka PRO Yoga Mat</t>
        </is>
      </c>
      <c r="E19" s="2" t="n">
        <v>4</v>
      </c>
      <c r="F19" s="4" t="n">
        <v>119.99</v>
      </c>
      <c r="G19" s="4" t="n">
        <v>479.96</v>
      </c>
      <c r="H19" s="3" t="inlineStr">
        <is>
          <t>Asia</t>
        </is>
      </c>
      <c r="I19" s="3" t="inlineStr">
        <is>
          <t>Credit Card</t>
        </is>
      </c>
      <c r="J19" s="3">
        <f>TEXT(B19, "Mmm")</f>
        <v/>
      </c>
      <c r="K19" s="3">
        <f>IF(G19&gt;=1000, "High Value", IF(G19&gt;=200, "Medium Value", "Low Value"))</f>
        <v/>
      </c>
    </row>
    <row r="20">
      <c r="A20" s="2" t="n">
        <v>19</v>
      </c>
      <c r="B20" s="3" t="inlineStr">
        <is>
          <t>2024-03-02</t>
        </is>
      </c>
      <c r="C20" s="3" t="inlineStr">
        <is>
          <t>Electronics</t>
        </is>
      </c>
      <c r="D20" s="3" t="inlineStr">
        <is>
          <t>Garmin Forerunner 945</t>
        </is>
      </c>
      <c r="E20" s="2" t="n">
        <v>2</v>
      </c>
      <c r="F20" s="4" t="n">
        <v>499.99</v>
      </c>
      <c r="G20" s="4" t="n">
        <v>999.98</v>
      </c>
      <c r="H20" s="3" t="inlineStr">
        <is>
          <t>North America</t>
        </is>
      </c>
      <c r="I20" s="3" t="inlineStr">
        <is>
          <t>Credit Card</t>
        </is>
      </c>
      <c r="J20" s="3">
        <f>TEXT(B20, "Mmm")</f>
        <v/>
      </c>
      <c r="K20" s="3">
        <f>IF(G20&gt;=1000, "High Value", IF(G20&gt;=200, "Medium Value", "Low Value"))</f>
        <v/>
      </c>
    </row>
    <row r="21">
      <c r="A21" s="2" t="n">
        <v>20</v>
      </c>
      <c r="B21" s="3" t="inlineStr">
        <is>
          <t>2024-03-05</t>
        </is>
      </c>
      <c r="C21" s="3" t="inlineStr">
        <is>
          <t>Home Appliances</t>
        </is>
      </c>
      <c r="D21" s="3" t="inlineStr">
        <is>
          <t>Ninja Professional Blender</t>
        </is>
      </c>
      <c r="E21" s="2" t="n">
        <v>1</v>
      </c>
      <c r="F21" s="4" t="n">
        <v>99.98999999999999</v>
      </c>
      <c r="G21" s="4" t="n">
        <v>99.98999999999999</v>
      </c>
      <c r="H21" s="3" t="inlineStr">
        <is>
          <t>Europe</t>
        </is>
      </c>
      <c r="I21" s="3" t="inlineStr">
        <is>
          <t>PayPal</t>
        </is>
      </c>
      <c r="J21" s="3">
        <f>TEXT(B21, "Mmm")</f>
        <v/>
      </c>
      <c r="K21" s="3">
        <f>IF(G21&gt;=1000, "High Value", IF(G21&gt;=200, "Medium Value", "Low Value"))</f>
        <v/>
      </c>
    </row>
    <row r="22">
      <c r="A22" s="2" t="n">
        <v>21</v>
      </c>
      <c r="B22" s="3" t="inlineStr">
        <is>
          <t>2024-03-10</t>
        </is>
      </c>
      <c r="C22" s="3" t="inlineStr">
        <is>
          <t>Clothing</t>
        </is>
      </c>
      <c r="D22" s="3" t="inlineStr">
        <is>
          <t>Zara Summer Dress</t>
        </is>
      </c>
      <c r="E22" s="2" t="n">
        <v>3</v>
      </c>
      <c r="F22" s="4" t="n">
        <v>59.99</v>
      </c>
      <c r="G22" s="4" t="n">
        <v>179.97</v>
      </c>
      <c r="H22" s="3" t="inlineStr">
        <is>
          <t>Asia</t>
        </is>
      </c>
      <c r="I22" s="3" t="inlineStr">
        <is>
          <t>Debit Card</t>
        </is>
      </c>
      <c r="J22" s="3">
        <f>TEXT(B22, "Mmm")</f>
        <v/>
      </c>
      <c r="K22" s="3">
        <f>IF(G22&gt;=1000, "High Value", IF(G22&gt;=200, "Medium Value", "Low Value"))</f>
        <v/>
      </c>
    </row>
    <row r="23">
      <c r="A23" s="2" t="n">
        <v>22</v>
      </c>
      <c r="B23" s="3" t="inlineStr">
        <is>
          <t>2024-03-15</t>
        </is>
      </c>
      <c r="C23" s="3" t="inlineStr">
        <is>
          <t>Books</t>
        </is>
      </c>
      <c r="D23" s="3" t="inlineStr">
        <is>
          <t>Gone Girl by Gillian Flynn</t>
        </is>
      </c>
      <c r="E23" s="2" t="n">
        <v>2</v>
      </c>
      <c r="F23" s="4" t="n">
        <v>22.99</v>
      </c>
      <c r="G23" s="4" t="n">
        <v>45.98</v>
      </c>
      <c r="H23" s="3" t="inlineStr">
        <is>
          <t>North America</t>
        </is>
      </c>
      <c r="I23" s="3" t="inlineStr">
        <is>
          <t>Credit Card</t>
        </is>
      </c>
      <c r="J23" s="3">
        <f>TEXT(B23, "Mmm")</f>
        <v/>
      </c>
      <c r="K23" s="3">
        <f>IF(G23&gt;=1000, "High Value", IF(G23&gt;=200, "Medium Value", "Low Value"))</f>
        <v/>
      </c>
    </row>
    <row r="24">
      <c r="A24" s="2" t="n">
        <v>23</v>
      </c>
      <c r="B24" s="3" t="inlineStr">
        <is>
          <t>2024-03-20</t>
        </is>
      </c>
      <c r="C24" s="3" t="inlineStr">
        <is>
          <t>Beauty Products</t>
        </is>
      </c>
      <c r="D24" s="3" t="inlineStr">
        <is>
          <t>Olay Regenerist Face Cream</t>
        </is>
      </c>
      <c r="E24" s="2" t="n">
        <v>1</v>
      </c>
      <c r="F24" s="4" t="n">
        <v>49.99</v>
      </c>
      <c r="G24" s="4" t="n">
        <v>49.99</v>
      </c>
      <c r="H24" s="3" t="inlineStr">
        <is>
          <t>Europe</t>
        </is>
      </c>
      <c r="I24" s="3" t="inlineStr">
        <is>
          <t>PayPal</t>
        </is>
      </c>
      <c r="J24" s="3">
        <f>TEXT(B24, "Mmm")</f>
        <v/>
      </c>
      <c r="K24" s="3">
        <f>IF(G24&gt;=1000, "High Value", IF(G24&gt;=200, "Medium Value", "Low Value"))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5" max="5"/>
    <col width="22" customWidth="1" min="7" max="7"/>
  </cols>
  <sheetData>
    <row r="1">
      <c r="E1" s="8" t="inlineStr">
        <is>
          <t>Total Revenue</t>
        </is>
      </c>
      <c r="G1" s="8" t="inlineStr">
        <is>
          <t>Average Order Value</t>
        </is>
      </c>
    </row>
    <row r="2">
      <c r="E2" s="9">
        <f>Data!O2</f>
        <v/>
      </c>
      <c r="G2" s="9">
        <f>Data!O4</f>
        <v/>
      </c>
    </row>
    <row r="3">
      <c r="A3" s="10" t="inlineStr">
        <is>
          <t>Product Category</t>
        </is>
      </c>
      <c r="B3" s="10" t="inlineStr">
        <is>
          <t>Sum of Total Revenue</t>
        </is>
      </c>
    </row>
    <row r="4">
      <c r="A4" s="3" t="inlineStr">
        <is>
          <t>Beauty Products</t>
        </is>
      </c>
      <c r="B4" s="4">
        <f>SUMIF(Data!C:C, A4, Data!G:G)</f>
        <v/>
      </c>
    </row>
    <row r="5">
      <c r="A5" s="3" t="inlineStr">
        <is>
          <t>Books</t>
        </is>
      </c>
      <c r="B5" s="4">
        <f>SUMIF(Data!C:C, A5, Data!G:G)</f>
        <v/>
      </c>
    </row>
    <row r="6">
      <c r="A6" s="3" t="inlineStr">
        <is>
          <t>Clothing</t>
        </is>
      </c>
      <c r="B6" s="4">
        <f>SUMIF(Data!C:C, A6, Data!G:G)</f>
        <v/>
      </c>
    </row>
    <row r="7">
      <c r="A7" s="3" t="inlineStr">
        <is>
          <t>Electronics</t>
        </is>
      </c>
      <c r="B7" s="4">
        <f>SUMIF(Data!C:C, A7, Data!G:G)</f>
        <v/>
      </c>
    </row>
    <row r="8">
      <c r="A8" s="3" t="inlineStr">
        <is>
          <t>Home Appliances</t>
        </is>
      </c>
      <c r="B8" s="4">
        <f>SUMIF(Data!C:C, A8, Data!G:G)</f>
        <v/>
      </c>
    </row>
    <row r="9">
      <c r="A9" s="3" t="inlineStr">
        <is>
          <t>Sports</t>
        </is>
      </c>
      <c r="B9" s="4">
        <f>SUMIF(Data!C:C, A9, Data!G:G)</f>
        <v/>
      </c>
    </row>
    <row r="10">
      <c r="A10" s="11" t="inlineStr">
        <is>
          <t>Grand Total</t>
        </is>
      </c>
      <c r="B10" s="12">
        <f>SUM(B4:B9)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2026-08-21T16:24:45Z</dcterms:created>
  <dcterms:modified xmlns:dcterms="http://purl.org/dc/terms/" xmlns:xsi="http://www.w3.org/2001/XMLSchema-instance" xsi:type="dcterms:W3CDTF">2026-08-21T16:24:45Z</dcterms:modified>
</cp:coreProperties>
</file>